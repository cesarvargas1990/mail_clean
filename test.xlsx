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saraugustovargas/Desktop/mail_clean/"/>
    </mc:Choice>
  </mc:AlternateContent>
  <xr:revisionPtr revIDLastSave="0" documentId="8_{B93C16A7-9362-7244-8280-44A4E28CE07E}" xr6:coauthVersionLast="37" xr6:coauthVersionMax="37" xr10:uidLastSave="{00000000-0000-0000-0000-000000000000}"/>
  <bookViews>
    <workbookView xWindow="15480" yWindow="6500" windowWidth="28040" windowHeight="17220" activeTab="1" xr2:uid="{F2A70258-2BBF-9A44-BD89-4E02D40BA211}"/>
  </bookViews>
  <sheets>
    <sheet name="Hoja1" sheetId="1" r:id="rId1"/>
    <sheet name="Hoja2" sheetId="2" r:id="rId2"/>
  </sheets>
  <definedNames>
    <definedName name="_xlnm._FilterDatabase" localSheetId="0" hidden="1">Hoja1!$E$18:$N$31</definedName>
  </definedName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2" l="1"/>
  <c r="P19" i="1" l="1"/>
  <c r="N19" i="1"/>
  <c r="L19" i="1"/>
  <c r="N20" i="1"/>
  <c r="N21" i="1"/>
  <c r="N22" i="1"/>
  <c r="N23" i="1"/>
  <c r="N24" i="1"/>
  <c r="N25" i="1"/>
  <c r="N26" i="1"/>
  <c r="N27" i="1"/>
  <c r="N28" i="1"/>
  <c r="N29" i="1"/>
  <c r="N30" i="1"/>
  <c r="N31" i="1"/>
  <c r="F14" i="1"/>
</calcChain>
</file>

<file path=xl/sharedStrings.xml><?xml version="1.0" encoding="utf-8"?>
<sst xmlns="http://schemas.openxmlformats.org/spreadsheetml/2006/main" count="43" uniqueCount="43">
  <si>
    <t>Internet (708-916195-07) bcolombia q1</t>
  </si>
  <si>
    <t>Casa q1x</t>
  </si>
  <si>
    <t>Cuota bancolombia q1</t>
  </si>
  <si>
    <t>Fact claro mia q2</t>
  </si>
  <si>
    <t>Netflix2 q2 (25 de cada mes)</t>
  </si>
  <si>
    <t>iCloud q2</t>
  </si>
  <si>
    <t>Bbva cuota 6m</t>
  </si>
  <si>
    <t>Gimnasio</t>
  </si>
  <si>
    <t>Gmlz</t>
  </si>
  <si>
    <t>Cuota av villas</t>
  </si>
  <si>
    <t>Cuota unicef</t>
  </si>
  <si>
    <t>nequi prestamo</t>
  </si>
  <si>
    <t>Mes</t>
  </si>
  <si>
    <t>Ingreso Neto</t>
  </si>
  <si>
    <t>Meta Ahorro</t>
  </si>
  <si>
    <t>Ahorro Real</t>
  </si>
  <si>
    <t>Gastos Fijos Estimados</t>
  </si>
  <si>
    <t>Gastos Adicionales</t>
  </si>
  <si>
    <t>Ingresos</t>
  </si>
  <si>
    <t>Disponible</t>
  </si>
  <si>
    <t>Disponible Estimacion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</si>
  <si>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</si>
  <si>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</si>
  <si>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</si>
  <si>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</si>
  <si>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</si>
  <si>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</si>
  <si>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</si>
  <si>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</si>
  <si>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</si>
  <si>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</si>
  <si>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</si>
  <si>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</si>
  <si>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Totales</t>
  </si>
  <si>
    <t>cuanto_me_puedo_gastar</t>
  </si>
  <si>
    <t>ingresos_extra</t>
  </si>
  <si>
    <t>gastos_adicionales</t>
  </si>
  <si>
    <t>gastos_estimados</t>
  </si>
  <si>
    <t>meta_ahorro</t>
  </si>
  <si>
    <t>ingreso_neto</t>
  </si>
  <si>
    <t>ahorro_real</t>
  </si>
  <si>
    <t>ingresoneto-metaahorro-gastosfijos</t>
  </si>
  <si>
    <t>ingresos_extra + ahorro_real - meta_ahorro - gastos_estimados - gastos_adicionales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</si>
</sst>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8" fontId="0" fillId="0" borderId="0" xfId="0" applyNumberFormat="1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C8BC-419F-894D-8499-334C0FB0830F}">
  <dimension ref="E2:P31"/>
  <sheetViews>
    <sheetView topLeftCell="G1" workbookViewId="0">
      <selection activeCell="N17" sqref="N17"/>
    </sheetView>
  </sheetViews>
  <sheetFormatPr baseColWidth="10" defaultRowHeight="16" x14ac:dyDescent="0.2"/>
  <cols>
    <col min="5" max="5" width="34" bestFit="1" customWidth="1"/>
    <col min="6" max="6" width="13.6640625" bestFit="1" customWidth="1"/>
    <col min="7" max="7" width="12.6640625" bestFit="1" customWidth="1"/>
    <col min="8" max="8" width="11.6640625" bestFit="1" customWidth="1"/>
    <col min="9" max="9" width="20.33203125" bestFit="1" customWidth="1"/>
    <col min="10" max="10" width="16.83203125" bestFit="1" customWidth="1"/>
    <col min="11" max="11" width="13.1640625" bestFit="1" customWidth="1"/>
    <col min="12" max="12" width="31.1640625" bestFit="1" customWidth="1"/>
    <col min="13" max="13" width="22.83203125" bestFit="1" customWidth="1"/>
    <col min="14" max="14" width="72.5" bestFit="1" customWidth="1"/>
    <col min="16" max="16" width="11.6640625" bestFit="1" customWidth="1"/>
  </cols>
  <sheetData>
    <row r="2" spans="5:6" x14ac:dyDescent="0.2">
      <c r="E2" t="s">
        <v>0</v>
      </c>
      <c r="F2" s="1">
        <v>85000</v>
      </c>
    </row>
    <row r="3" spans="5:6" x14ac:dyDescent="0.2">
      <c r="E3" t="s">
        <v>1</v>
      </c>
      <c r="F3" s="1">
        <v>440000</v>
      </c>
    </row>
    <row r="4" spans="5:6" x14ac:dyDescent="0.2">
      <c r="E4" t="s">
        <v>2</v>
      </c>
      <c r="F4" s="1">
        <v>1363401</v>
      </c>
    </row>
    <row r="5" spans="5:6" x14ac:dyDescent="0.2">
      <c r="E5" t="s">
        <v>3</v>
      </c>
      <c r="F5" s="1">
        <v>42900</v>
      </c>
    </row>
    <row r="6" spans="5:6" x14ac:dyDescent="0.2">
      <c r="E6" t="s">
        <v>4</v>
      </c>
      <c r="F6" s="1">
        <v>16900</v>
      </c>
    </row>
    <row r="7" spans="5:6" x14ac:dyDescent="0.2">
      <c r="E7" t="s">
        <v>5</v>
      </c>
      <c r="F7" s="1">
        <v>44900</v>
      </c>
    </row>
    <row r="8" spans="5:6" x14ac:dyDescent="0.2">
      <c r="E8" t="s">
        <v>6</v>
      </c>
      <c r="F8" s="1">
        <v>192897</v>
      </c>
    </row>
    <row r="9" spans="5:6" x14ac:dyDescent="0.2">
      <c r="E9" t="s">
        <v>7</v>
      </c>
      <c r="F9" s="1">
        <v>51000</v>
      </c>
    </row>
    <row r="10" spans="5:6" x14ac:dyDescent="0.2">
      <c r="E10" t="s">
        <v>8</v>
      </c>
      <c r="F10" s="1">
        <v>230000</v>
      </c>
    </row>
    <row r="11" spans="5:6" x14ac:dyDescent="0.2">
      <c r="E11" t="s">
        <v>9</v>
      </c>
      <c r="F11" s="1">
        <v>1594472</v>
      </c>
    </row>
    <row r="12" spans="5:6" x14ac:dyDescent="0.2">
      <c r="E12" t="s">
        <v>10</v>
      </c>
      <c r="F12" s="1">
        <v>50000</v>
      </c>
    </row>
    <row r="13" spans="5:6" x14ac:dyDescent="0.2">
      <c r="E13" t="s">
        <v>11</v>
      </c>
      <c r="F13" s="1">
        <v>152023</v>
      </c>
    </row>
    <row r="14" spans="5:6" x14ac:dyDescent="0.2">
      <c r="F14" s="1">
        <f>SUM(F2:F13)</f>
        <v>4263493</v>
      </c>
    </row>
    <row r="17" spans="5:16" x14ac:dyDescent="0.2">
      <c r="F17" t="s">
        <v>39</v>
      </c>
      <c r="G17" t="s">
        <v>38</v>
      </c>
      <c r="H17" t="s">
        <v>40</v>
      </c>
      <c r="I17" t="s">
        <v>37</v>
      </c>
      <c r="J17" t="s">
        <v>36</v>
      </c>
      <c r="K17" t="s">
        <v>35</v>
      </c>
      <c r="L17" t="s">
        <v>41</v>
      </c>
      <c r="M17" t="s">
        <v>34</v>
      </c>
      <c r="N17" t="s">
        <v>42</v>
      </c>
    </row>
    <row r="18" spans="5:16" x14ac:dyDescent="0.2">
      <c r="E18" s="2" t="s">
        <v>12</v>
      </c>
      <c r="F18" s="2" t="s">
        <v>13</v>
      </c>
      <c r="G18" s="2" t="s">
        <v>14</v>
      </c>
      <c r="H18" s="2" t="s">
        <v>15</v>
      </c>
      <c r="I18" s="2" t="s">
        <v>16</v>
      </c>
      <c r="J18" s="2" t="s">
        <v>17</v>
      </c>
      <c r="K18" s="2" t="s">
        <v>18</v>
      </c>
      <c r="L18" s="2" t="s">
        <v>19</v>
      </c>
      <c r="M18" s="2" t="s">
        <v>20</v>
      </c>
    </row>
    <row r="19" spans="5:16" x14ac:dyDescent="0.2">
      <c r="E19" t="s">
        <v>21</v>
      </c>
      <c r="F19" s="3">
        <v>9305824</v>
      </c>
      <c r="G19" s="3">
        <v>4500000</v>
      </c>
      <c r="H19" s="3">
        <v>4500000</v>
      </c>
      <c r="I19" s="3">
        <v>4263493</v>
      </c>
      <c r="J19" s="3">
        <v>169987</v>
      </c>
      <c r="K19" s="3">
        <v>6256029</v>
      </c>
      <c r="L19" s="3">
        <f>F19-G19-I19</f>
        <v>542331</v>
      </c>
      <c r="M19" s="3">
        <v>372344</v>
      </c>
      <c r="N19" s="3">
        <f>K19+H19-G19-I19-J19</f>
        <v>1822549</v>
      </c>
      <c r="P19" s="3">
        <f>F19-G19-I19-J19</f>
        <v>372344</v>
      </c>
    </row>
    <row r="20" spans="5:16" x14ac:dyDescent="0.2">
      <c r="E20" t="s">
        <v>22</v>
      </c>
      <c r="F20" s="3">
        <v>9305824</v>
      </c>
      <c r="G20" s="3">
        <v>4500000</v>
      </c>
      <c r="H20">
        <v>4500000</v>
      </c>
      <c r="I20" s="3">
        <v>4263493</v>
      </c>
      <c r="J20">
        <v>500000</v>
      </c>
      <c r="K20">
        <v>7000000</v>
      </c>
      <c r="L20" s="3">
        <v>542331</v>
      </c>
      <c r="M20" s="3">
        <v>542331</v>
      </c>
      <c r="N20" s="3">
        <f t="shared" ref="N20:N31" si="0">K20+H20-G20-I20-J20</f>
        <v>2236507</v>
      </c>
    </row>
    <row r="21" spans="5:16" x14ac:dyDescent="0.2">
      <c r="E21" t="s">
        <v>23</v>
      </c>
      <c r="F21" s="3">
        <v>9305824</v>
      </c>
      <c r="G21" s="3">
        <v>4500000</v>
      </c>
      <c r="H21">
        <v>0</v>
      </c>
      <c r="I21" s="3">
        <v>4263493</v>
      </c>
      <c r="J21">
        <v>0</v>
      </c>
      <c r="K21">
        <v>0</v>
      </c>
      <c r="L21" s="3">
        <v>542331</v>
      </c>
      <c r="M21" s="3">
        <v>542331</v>
      </c>
      <c r="N21" s="3">
        <f t="shared" si="0"/>
        <v>-8763493</v>
      </c>
    </row>
    <row r="22" spans="5:16" x14ac:dyDescent="0.2">
      <c r="E22" t="s">
        <v>24</v>
      </c>
      <c r="F22" s="3">
        <v>9305824</v>
      </c>
      <c r="G22" s="3">
        <v>4500000</v>
      </c>
      <c r="H22">
        <v>0</v>
      </c>
      <c r="I22" s="3">
        <v>4263493</v>
      </c>
      <c r="J22">
        <v>0</v>
      </c>
      <c r="K22">
        <v>0</v>
      </c>
      <c r="L22" s="3">
        <v>542331</v>
      </c>
      <c r="M22" s="3">
        <v>542331</v>
      </c>
      <c r="N22" s="3">
        <f t="shared" si="0"/>
        <v>-8763493</v>
      </c>
    </row>
    <row r="23" spans="5:16" x14ac:dyDescent="0.2">
      <c r="E23" t="s">
        <v>25</v>
      </c>
      <c r="F23" s="3">
        <v>9305824</v>
      </c>
      <c r="G23" s="3">
        <v>4500000</v>
      </c>
      <c r="H23">
        <v>0</v>
      </c>
      <c r="I23" s="3">
        <v>4263493</v>
      </c>
      <c r="J23">
        <v>0</v>
      </c>
      <c r="K23">
        <v>0</v>
      </c>
      <c r="L23" s="3">
        <v>542331</v>
      </c>
      <c r="M23" s="3">
        <v>542331</v>
      </c>
      <c r="N23" s="3">
        <f t="shared" si="0"/>
        <v>-8763493</v>
      </c>
    </row>
    <row r="24" spans="5:16" x14ac:dyDescent="0.2">
      <c r="E24" t="s">
        <v>26</v>
      </c>
      <c r="F24" s="3">
        <v>14628160</v>
      </c>
      <c r="G24" s="3">
        <v>4500000</v>
      </c>
      <c r="H24">
        <v>0</v>
      </c>
      <c r="I24" s="3">
        <v>4263493</v>
      </c>
      <c r="J24">
        <v>0</v>
      </c>
      <c r="K24">
        <v>0</v>
      </c>
      <c r="L24" s="3">
        <v>5864667</v>
      </c>
      <c r="M24" s="3">
        <v>5864667</v>
      </c>
      <c r="N24" s="3">
        <f t="shared" si="0"/>
        <v>-8763493</v>
      </c>
    </row>
    <row r="25" spans="5:16" x14ac:dyDescent="0.2">
      <c r="E25" t="s">
        <v>27</v>
      </c>
      <c r="F25" s="3">
        <v>9305824</v>
      </c>
      <c r="G25" s="3">
        <v>4500000</v>
      </c>
      <c r="H25">
        <v>0</v>
      </c>
      <c r="I25" s="3">
        <v>4263493</v>
      </c>
      <c r="J25">
        <v>0</v>
      </c>
      <c r="K25">
        <v>0</v>
      </c>
      <c r="L25" s="3">
        <v>542331</v>
      </c>
      <c r="M25" s="3">
        <v>542331</v>
      </c>
      <c r="N25" s="3">
        <f t="shared" si="0"/>
        <v>-8763493</v>
      </c>
    </row>
    <row r="26" spans="5:16" x14ac:dyDescent="0.2">
      <c r="E26" t="s">
        <v>28</v>
      </c>
      <c r="F26" s="3">
        <v>9305824</v>
      </c>
      <c r="G26" s="3">
        <v>4250000</v>
      </c>
      <c r="H26">
        <v>0</v>
      </c>
      <c r="I26" s="3">
        <v>4263493</v>
      </c>
      <c r="J26">
        <v>0</v>
      </c>
      <c r="K26">
        <v>0</v>
      </c>
      <c r="L26" s="3">
        <v>792331</v>
      </c>
      <c r="M26" s="3">
        <v>792331</v>
      </c>
      <c r="N26" s="3">
        <f t="shared" si="0"/>
        <v>-8513493</v>
      </c>
    </row>
    <row r="27" spans="5:16" x14ac:dyDescent="0.2">
      <c r="E27" t="s">
        <v>29</v>
      </c>
      <c r="F27" s="3">
        <v>9305824</v>
      </c>
      <c r="G27" s="3">
        <v>3850000</v>
      </c>
      <c r="H27">
        <v>0</v>
      </c>
      <c r="I27" s="3">
        <v>4263493</v>
      </c>
      <c r="J27">
        <v>0</v>
      </c>
      <c r="K27">
        <v>0</v>
      </c>
      <c r="L27" s="3">
        <v>1192331</v>
      </c>
      <c r="M27" s="3">
        <v>1192331</v>
      </c>
      <c r="N27" s="3">
        <f t="shared" si="0"/>
        <v>-8113493</v>
      </c>
    </row>
    <row r="28" spans="5:16" x14ac:dyDescent="0.2">
      <c r="E28" t="s">
        <v>30</v>
      </c>
      <c r="F28" s="3">
        <v>9305824</v>
      </c>
      <c r="G28" s="3">
        <v>3850000</v>
      </c>
      <c r="H28">
        <v>0</v>
      </c>
      <c r="I28" s="3">
        <v>4263493</v>
      </c>
      <c r="J28">
        <v>0</v>
      </c>
      <c r="K28">
        <v>0</v>
      </c>
      <c r="L28" s="3">
        <v>1192331</v>
      </c>
      <c r="M28" s="3">
        <v>1192331</v>
      </c>
      <c r="N28" s="3">
        <f t="shared" si="0"/>
        <v>-8113493</v>
      </c>
    </row>
    <row r="29" spans="5:16" x14ac:dyDescent="0.2">
      <c r="E29" t="s">
        <v>31</v>
      </c>
      <c r="F29" s="3">
        <v>9305824</v>
      </c>
      <c r="G29" s="3">
        <v>2500000</v>
      </c>
      <c r="H29">
        <v>0</v>
      </c>
      <c r="I29" s="3">
        <v>4263493</v>
      </c>
      <c r="J29">
        <v>0</v>
      </c>
      <c r="K29">
        <v>0</v>
      </c>
      <c r="L29" s="3">
        <v>2542331</v>
      </c>
      <c r="M29" s="3">
        <v>2542331</v>
      </c>
      <c r="N29" s="3">
        <f t="shared" si="0"/>
        <v>-6763493</v>
      </c>
    </row>
    <row r="30" spans="5:16" x14ac:dyDescent="0.2">
      <c r="E30" t="s">
        <v>32</v>
      </c>
      <c r="F30" s="3">
        <v>14628160</v>
      </c>
      <c r="G30" s="3">
        <v>4500000</v>
      </c>
      <c r="H30">
        <v>0</v>
      </c>
      <c r="I30" s="3">
        <v>4263493</v>
      </c>
      <c r="J30">
        <v>0</v>
      </c>
      <c r="K30">
        <v>0</v>
      </c>
      <c r="L30" s="3">
        <v>5864667</v>
      </c>
      <c r="M30" s="3">
        <v>5864667</v>
      </c>
      <c r="N30" s="3">
        <f t="shared" si="0"/>
        <v>-8763493</v>
      </c>
    </row>
    <row r="31" spans="5:16" x14ac:dyDescent="0.2">
      <c r="E31" t="s">
        <v>33</v>
      </c>
      <c r="F31" s="3">
        <v>122314560</v>
      </c>
      <c r="G31" s="3">
        <v>50450000</v>
      </c>
      <c r="H31" s="3">
        <v>4500000</v>
      </c>
      <c r="I31" s="3">
        <v>51161916</v>
      </c>
      <c r="J31" s="3">
        <v>169987</v>
      </c>
      <c r="K31" s="3">
        <v>6256029</v>
      </c>
      <c r="L31" s="3">
        <v>20702644</v>
      </c>
      <c r="M31" s="3">
        <v>20532657</v>
      </c>
      <c r="N31" s="3">
        <f t="shared" si="0"/>
        <v>-91025874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E488-AEF4-0745-8504-451934F30EB2}">
  <dimension ref="A1:A4"/>
  <sheetViews>
    <sheetView tabSelected="1" workbookViewId="0">
      <selection activeCell="A4" sqref="A4"/>
    </sheetView>
  </sheetViews>
  <sheetFormatPr baseColWidth="10" defaultRowHeight="16" x14ac:dyDescent="0.2"/>
  <cols>
    <col min="1" max="1" width="11.5" bestFit="1" customWidth="1"/>
  </cols>
  <sheetData>
    <row r="1" spans="1:1" x14ac:dyDescent="0.2">
      <c r="A1">
        <v>594472</v>
      </c>
    </row>
    <row r="2" spans="1:1" x14ac:dyDescent="0.2">
      <c r="A2">
        <v>85000</v>
      </c>
    </row>
    <row r="3" spans="1:1" x14ac:dyDescent="0.2">
      <c r="A3">
        <v>440000</v>
      </c>
    </row>
    <row r="4" spans="1:1" x14ac:dyDescent="0.2">
      <c r="A4" t="e">
        <f>suma</f>
        <v>#NAME?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2026-01-04T14:44:08Z</dcterms:created>
  <dcterms:modified xsi:type="dcterms:W3CDTF">2026-01-09T18:51:00Z</dcterms:modified>
</cp:coreProperties>
</file>